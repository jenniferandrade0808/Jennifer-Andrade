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19f72ca1840be2a/Desktop/DLEMBA_DNP/Fall 2026/BUS620 Economics/"/>
    </mc:Choice>
  </mc:AlternateContent>
  <xr:revisionPtr revIDLastSave="2109" documentId="13_ncr:1_{8A44B8FF-FEAB-408A-821E-8924BEE13E02}" xr6:coauthVersionLast="47" xr6:coauthVersionMax="47" xr10:uidLastSave="{9E613AEE-1516-4D7E-A7E9-576B7607D559}"/>
  <bookViews>
    <workbookView xWindow="43080" yWindow="-120" windowWidth="29040" windowHeight="15720" activeTab="1" xr2:uid="{00000000-000D-0000-FFFF-FFFF00000000}"/>
  </bookViews>
  <sheets>
    <sheet name="Inputs" sheetId="1" r:id="rId1"/>
    <sheet name="Model" sheetId="2" r:id="rId2"/>
    <sheet name="Validation" sheetId="3" r:id="rId3"/>
    <sheet name="Outputs" sheetId="4" r:id="rId4"/>
  </sheets>
  <definedNames>
    <definedName name="CARROT_BASE_LABOR">Inputs!$B$9</definedName>
    <definedName name="CARROT_BED_CAP">Inputs!$B$8</definedName>
    <definedName name="CARROT_BED_CAP_ISOLATED">Inputs!$B$28</definedName>
    <definedName name="CARROT_BED_CAP_JOINT">Inputs!$B$30</definedName>
    <definedName name="CARROT_DIM_PCT">Inputs!$B$11</definedName>
    <definedName name="CARROT_FERTILIZER">Inputs!$B$10</definedName>
    <definedName name="CARROT_PRICE">Inputs!$B$7</definedName>
    <definedName name="FARMER_FIELD_SHARE">Inputs!$B$20</definedName>
    <definedName name="FARMER_HOURLY_RATE">Inputs!$B$22</definedName>
    <definedName name="FARMER_HOURS">Inputs!$B$21</definedName>
    <definedName name="FARMER_SALARY">Inputs!$B$19</definedName>
    <definedName name="FIXED_COSTS">Inputs!$B$27</definedName>
    <definedName name="MESCLUN_BASE_LABOR">Inputs!$B$14</definedName>
    <definedName name="MESCLUN_BED_CAP">Inputs!$B$13</definedName>
    <definedName name="MESCLUN_BED_CAP_ISOLATED">Inputs!$B$29</definedName>
    <definedName name="MESCLUN_BED_CAP_JOINT">Inputs!$B$31</definedName>
    <definedName name="MESCLUN_DIM_PCT">Inputs!$B$16</definedName>
    <definedName name="MESCLUN_FERTILIZER">Inputs!$B$15</definedName>
    <definedName name="MESCLUN_PRICE">Inputs!$B$12</definedName>
    <definedName name="solver_adj" localSheetId="1" hidden="1">Model!$F$2:$F$4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Model!$F$13</definedName>
    <definedName name="solver_lhs2" localSheetId="1" hidden="1">Model!$F$2</definedName>
    <definedName name="solver_lhs3" localSheetId="1" hidden="1">Model!$F$2:$F$4</definedName>
    <definedName name="solver_lhs4" localSheetId="1" hidden="1">Model!$F$3</definedName>
    <definedName name="solver_lhs5" localSheetId="1" hidden="1">Model!$F$4</definedName>
    <definedName name="solver_lhs6" localSheetId="1" hidden="1">Model!$F$5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6</definedName>
    <definedName name="solver_nwt" localSheetId="1" hidden="1">1</definedName>
    <definedName name="solver_opt" localSheetId="1" hidden="1">Model!$F$19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1</definedName>
    <definedName name="solver_rel3" localSheetId="1" hidden="1">4</definedName>
    <definedName name="solver_rel4" localSheetId="1" hidden="1">1</definedName>
    <definedName name="solver_rel5" localSheetId="1" hidden="1">1</definedName>
    <definedName name="solver_rel6" localSheetId="1" hidden="1">1</definedName>
    <definedName name="solver_rhs1" localSheetId="1" hidden="1">4</definedName>
    <definedName name="solver_rhs2" localSheetId="1" hidden="1">20</definedName>
    <definedName name="solver_rhs3" localSheetId="1" hidden="1">"integer"</definedName>
    <definedName name="solver_rhs4" localSheetId="1" hidden="1">24</definedName>
    <definedName name="solver_rhs5" localSheetId="1" hidden="1">34</definedName>
    <definedName name="solver_rhs6" localSheetId="1" hidden="1">64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  <definedName name="TEMP_WAGE">Inputs!$B$24</definedName>
    <definedName name="TEMP_WORKER_HOURLY_RATE">Inputs!$B$26</definedName>
    <definedName name="TEMP_WORKER_HOURS">Inputs!$B$25</definedName>
    <definedName name="TEMP_WORKER_MAX_COUNT">Inputs!$B$23</definedName>
    <definedName name="TOMATO_BASE_LABOR">Inputs!$B$4</definedName>
    <definedName name="TOMATO_BED_CAP">Inputs!$B$3</definedName>
    <definedName name="TOMATO_DIM_PCT">Inputs!$B$6</definedName>
    <definedName name="TOMATO_FERTILIZER">Inputs!$B$5</definedName>
    <definedName name="TOMATO_PRICE">Inputs!$B$2</definedName>
    <definedName name="TOTAL_BED_CAP">Inputs!$B$18</definedName>
    <definedName name="WEEKS">Inputs!$B$17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C3" i="4"/>
  <c r="C2" i="4"/>
  <c r="B12" i="3"/>
  <c r="E12" i="3" s="1"/>
  <c r="B11" i="3"/>
  <c r="E11" i="3" s="1"/>
  <c r="B10" i="3"/>
  <c r="E10" i="3" s="1"/>
  <c r="B9" i="3"/>
  <c r="E9" i="3" s="1"/>
  <c r="B5" i="3"/>
  <c r="B6" i="3" s="1"/>
  <c r="B7" i="3" s="1"/>
  <c r="B4" i="3"/>
  <c r="F24" i="2"/>
  <c r="E24" i="2"/>
  <c r="D24" i="2"/>
  <c r="C24" i="2"/>
  <c r="F23" i="2"/>
  <c r="E23" i="2"/>
  <c r="D23" i="2"/>
  <c r="C23" i="2"/>
  <c r="F22" i="2"/>
  <c r="E22" i="2"/>
  <c r="D22" i="2"/>
  <c r="C22" i="2"/>
  <c r="F18" i="2"/>
  <c r="E18" i="2"/>
  <c r="D18" i="2"/>
  <c r="C18" i="2"/>
  <c r="F17" i="2"/>
  <c r="E17" i="2"/>
  <c r="D17" i="2"/>
  <c r="C17" i="2"/>
  <c r="F9" i="2"/>
  <c r="E9" i="2"/>
  <c r="D9" i="2"/>
  <c r="C9" i="2"/>
  <c r="F7" i="2"/>
  <c r="E7" i="2"/>
  <c r="D7" i="2"/>
  <c r="C7" i="2"/>
  <c r="F5" i="2"/>
  <c r="F21" i="2" s="1"/>
  <c r="E5" i="2"/>
  <c r="E21" i="2" s="1"/>
  <c r="D5" i="2"/>
  <c r="D21" i="2" s="1"/>
  <c r="C5" i="2"/>
  <c r="C5" i="4" s="1"/>
  <c r="B26" i="1"/>
  <c r="B22" i="1"/>
  <c r="B9" i="1"/>
  <c r="D8" i="2" s="1"/>
  <c r="D10" i="2" l="1"/>
  <c r="B14" i="3"/>
  <c r="E14" i="3" s="1"/>
  <c r="C9" i="4"/>
  <c r="E8" i="2"/>
  <c r="E10" i="2" s="1"/>
  <c r="F8" i="2"/>
  <c r="F10" i="2" s="1"/>
  <c r="C21" i="2"/>
  <c r="C8" i="2"/>
  <c r="C10" i="2" s="1"/>
  <c r="C12" i="2" l="1"/>
  <c r="C11" i="2"/>
  <c r="C6" i="4"/>
  <c r="E11" i="2"/>
  <c r="E12" i="2"/>
  <c r="E13" i="2" s="1"/>
  <c r="E25" i="2" s="1"/>
  <c r="F12" i="2"/>
  <c r="F13" i="2" s="1"/>
  <c r="F25" i="2" s="1"/>
  <c r="F11" i="2"/>
  <c r="D12" i="2"/>
  <c r="D13" i="2" s="1"/>
  <c r="D25" i="2" s="1"/>
  <c r="D11" i="2"/>
  <c r="C14" i="2" l="1"/>
  <c r="E14" i="2"/>
  <c r="D14" i="2"/>
  <c r="F14" i="2"/>
  <c r="B17" i="3"/>
  <c r="E17" i="3" s="1"/>
  <c r="C13" i="2"/>
  <c r="C25" i="2" s="1"/>
  <c r="F19" i="2" l="1"/>
  <c r="C12" i="4" s="1"/>
  <c r="F15" i="2"/>
  <c r="E19" i="2"/>
  <c r="E15" i="2"/>
  <c r="D19" i="2"/>
  <c r="D15" i="2"/>
  <c r="C19" i="2"/>
  <c r="B13" i="3" s="1"/>
  <c r="E13" i="3" s="1"/>
  <c r="C15" i="2"/>
  <c r="C7" i="4" s="1"/>
  <c r="B15" i="3" l="1"/>
  <c r="E15" i="3" s="1"/>
  <c r="B16" i="3"/>
  <c r="E16" i="3" s="1"/>
  <c r="C11" i="4"/>
  <c r="C10" i="4"/>
  <c r="C13" i="4"/>
  <c r="C8" i="4"/>
</calcChain>
</file>

<file path=xl/sharedStrings.xml><?xml version="1.0" encoding="utf-8"?>
<sst xmlns="http://schemas.openxmlformats.org/spreadsheetml/2006/main" count="181" uniqueCount="126">
  <si>
    <t>Name</t>
  </si>
  <si>
    <t>Value</t>
  </si>
  <si>
    <t>Unit</t>
  </si>
  <si>
    <t>Source</t>
  </si>
  <si>
    <t>TOMATO_PRICE</t>
  </si>
  <si>
    <t>$/bed</t>
  </si>
  <si>
    <t>Case File</t>
  </si>
  <si>
    <t>TOMATO_BED_CAP</t>
  </si>
  <si>
    <t>beds</t>
  </si>
  <si>
    <t>TOMATO_BASE_LABOR</t>
  </si>
  <si>
    <t>hrs/week/bed</t>
  </si>
  <si>
    <t>TOMATO_FERTILIZER</t>
  </si>
  <si>
    <t>TOMATO_DIM_PCT</t>
  </si>
  <si>
    <t>%</t>
  </si>
  <si>
    <t>CARROT_PRICE</t>
  </si>
  <si>
    <t>CARROT_BED_CAP</t>
  </si>
  <si>
    <t>CARROT_BASE_LABOR</t>
  </si>
  <si>
    <t>Case File states 0.833 (rounded); exact 5/6 used so profit hits check figure to the dollar</t>
  </si>
  <si>
    <t>CARROT_FERTILIZER</t>
  </si>
  <si>
    <t>CARROT_DIM_PCT</t>
  </si>
  <si>
    <t>MESCLUN_PRICE</t>
  </si>
  <si>
    <t>MESCLUN_BED_CAP</t>
  </si>
  <si>
    <t>MESCLUN_BASE_LABOR</t>
  </si>
  <si>
    <t>MESCLUN_FERTILIZER</t>
  </si>
  <si>
    <t>MESCLUN_DIM_PCT</t>
  </si>
  <si>
    <t>WEEKS</t>
  </si>
  <si>
    <t>weeks</t>
  </si>
  <si>
    <t>TOTAL_BED_CAP</t>
  </si>
  <si>
    <t>FARMER_SALARY</t>
  </si>
  <si>
    <t>$/season</t>
  </si>
  <si>
    <t>FARMER_FIELD_SHARE</t>
  </si>
  <si>
    <t>share of time in field</t>
  </si>
  <si>
    <t>FARMER_HOURS</t>
  </si>
  <si>
    <t>hours</t>
  </si>
  <si>
    <t>FARMER_HOURLY_RATE</t>
  </si>
  <si>
    <t>$/hour</t>
  </si>
  <si>
    <t>Derived: salary x field share / hours (Case File prints rounded $34.72)</t>
  </si>
  <si>
    <t>TEMP_WORKER_MAX_COUNT</t>
  </si>
  <si>
    <t>workers</t>
  </si>
  <si>
    <t>TEMP_WAGE</t>
  </si>
  <si>
    <t>$/worker</t>
  </si>
  <si>
    <t>TEMP_WORKER_HOURS</t>
  </si>
  <si>
    <t>hours/worker</t>
  </si>
  <si>
    <t>TEMP_WORKER_HOURLY_RATE</t>
  </si>
  <si>
    <t>Derived: wage / hours each (Case File prints rounded $17.36)</t>
  </si>
  <si>
    <t>FIXED_COSTS</t>
  </si>
  <si>
    <t>$</t>
  </si>
  <si>
    <t>CARROT_BED_CAP_ISOLATED</t>
  </si>
  <si>
    <t>Shadow Price Run (Carrot +1)</t>
  </si>
  <si>
    <t>MESCLUN_BED_CAP_ISOLATED</t>
  </si>
  <si>
    <t>Shadow Price Run (Mesclun +1)</t>
  </si>
  <si>
    <t>CARROT_BED_CAP_JOINT</t>
  </si>
  <si>
    <t>Shadow Price Run (+4 cap)</t>
  </si>
  <si>
    <t>MESCLUN_BED_CAP_JOINT</t>
  </si>
  <si>
    <t>Metric</t>
  </si>
  <si>
    <t>Primary (Baseline)</t>
  </si>
  <si>
    <t>Isolated Carrot (+1)</t>
  </si>
  <si>
    <t>Isolated Mesclun (+1)</t>
  </si>
  <si>
    <t>Joint (+4/+4)</t>
  </si>
  <si>
    <t>Tomato Beds (q_t) [Solver changing cell]</t>
  </si>
  <si>
    <t>Carrot Beds (q_c) [Solver changing cell]</t>
  </si>
  <si>
    <t>Mesclun Beds (q_m) [Solver changing cell]</t>
  </si>
  <si>
    <t>Total Beds Planted</t>
  </si>
  <si>
    <t>Tomato Labor Hours</t>
  </si>
  <si>
    <t>Carrot Labor Hours</t>
  </si>
  <si>
    <t>Mesclun Labor Hours</t>
  </si>
  <si>
    <t>Total Labor Hours</t>
  </si>
  <si>
    <t>Farmer Hours Used</t>
  </si>
  <si>
    <t>Temp Hours Used</t>
  </si>
  <si>
    <t>Temp Workers Needed</t>
  </si>
  <si>
    <t>Total Labor Cost</t>
  </si>
  <si>
    <t>Blended Labor Rate</t>
  </si>
  <si>
    <t>Fertilizer Cost</t>
  </si>
  <si>
    <t>Revenue</t>
  </si>
  <si>
    <t>PROFIT [Solver objective - maximize]</t>
  </si>
  <si>
    <t>Constraint: Total Beds &lt;= 64</t>
  </si>
  <si>
    <t>Constraint: Tomato &lt;= Cap</t>
  </si>
  <si>
    <t>Constraint: Carrot &lt;= Cap</t>
  </si>
  <si>
    <t>Constraint: Mesclun &lt;= Cap</t>
  </si>
  <si>
    <t>Constraint: Temp Workers &lt;= 4</t>
  </si>
  <si>
    <t>Check</t>
  </si>
  <si>
    <t>Computed</t>
  </si>
  <si>
    <t>Target</t>
  </si>
  <si>
    <t>Tolerance</t>
  </si>
  <si>
    <t>Pass?</t>
  </si>
  <si>
    <t>-- Supporting calc: tomato bed 11 marginal cost --</t>
  </si>
  <si>
    <t>Tomato labor hours at q=10</t>
  </si>
  <si>
    <t>Tomato labor hours at q=11</t>
  </si>
  <si>
    <t>Delta labor hours (bed 11)</t>
  </si>
  <si>
    <t>Marginal cost of bed 11 (temp rate + fertilizer)</t>
  </si>
  <si>
    <t>-- Acceptance criteria --</t>
  </si>
  <si>
    <t>q=1 Hand-Check (tomato labor hours)</t>
  </si>
  <si>
    <t>Optimal Mix - Tomato beds</t>
  </si>
  <si>
    <t>Optimal Mix - Carrot beds</t>
  </si>
  <si>
    <t>Optimal Mix - Mesclun beds</t>
  </si>
  <si>
    <t>Season Profit (Primary)</t>
  </si>
  <si>
    <t>Marginal Cost of Tomato Bed 11</t>
  </si>
  <si>
    <t>Isolated Carrot Shadow Price</t>
  </si>
  <si>
    <t>Isolated Mesclun Shadow Price</t>
  </si>
  <si>
    <t>Temp Hours Used (Primary) &lt;= 5760</t>
  </si>
  <si>
    <t>&lt;= cap</t>
  </si>
  <si>
    <t>Output Name</t>
  </si>
  <si>
    <t>Description</t>
  </si>
  <si>
    <t>Baseline Optimal Mix - Tomato</t>
  </si>
  <si>
    <t>Profit-maximizing tomato beds under baseline caps</t>
  </si>
  <si>
    <t>Baseline Optimal Mix - Carrot</t>
  </si>
  <si>
    <t>Profit-maximizing carrot beds under baseline caps</t>
  </si>
  <si>
    <t>Baseline Optimal Mix - Mesclun</t>
  </si>
  <si>
    <t>Profit-maximizing mesclun beds under baseline caps</t>
  </si>
  <si>
    <t>Baseline Total Beds Used</t>
  </si>
  <si>
    <t>Total beds planted vs. 64-bed capacity</t>
  </si>
  <si>
    <t>Baseline Total Labor Hours</t>
  </si>
  <si>
    <t>Farm-wide labor requirement</t>
  </si>
  <si>
    <t>Baseline Blended Labor Rate</t>
  </si>
  <si>
    <t>$/hr</t>
  </si>
  <si>
    <t>Farm-wide total labor cost / total labor hours</t>
  </si>
  <si>
    <t>Baseline Net Profit</t>
  </si>
  <si>
    <t>Optimized season profit</t>
  </si>
  <si>
    <t>Tomato 11th Bed Marginal Cost</t>
  </si>
  <si>
    <t>Incremental cost of the 11th tomato bed</t>
  </si>
  <si>
    <t>Profit delta from raising carrot cap to 21 beds</t>
  </si>
  <si>
    <t>Profit delta from raising mesclun cap to 31 beds</t>
  </si>
  <si>
    <t>Joint Capacity Absorption Profit</t>
  </si>
  <si>
    <t>Profit under joint caps (24/34)</t>
  </si>
  <si>
    <t>Joint Capacity Absorption Delta</t>
  </si>
  <si>
    <t>Profit delta vs. baseline under joint caps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</si>
</sst>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44" fontId="0" fillId="0" borderId="0" xfId="1" applyFont="1"/>
  </cellXfs>
  <cellStyles count="2">
    <cellStyle name="Currency" xfId="1" builtinId="4"/>
    <cellStyle name="Normal" xfId="0" builtinId="0"/>
  </cellStyles>
  <dxfs count="4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workbookViewId="0"/>
  </sheetViews>
  <sheetFormatPr defaultRowHeight="14.25" x14ac:dyDescent="0.45"/>
  <cols>
    <col min="1" max="1" width="26" customWidth="1"/>
    <col min="2" max="2" width="40" customWidth="1"/>
    <col min="3" max="3" width="16" customWidth="1"/>
    <col min="4" max="4" width="70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>
        <v>8800</v>
      </c>
      <c r="C2" t="s">
        <v>5</v>
      </c>
      <c r="D2" t="s">
        <v>6</v>
      </c>
    </row>
    <row r="3" spans="1:4" x14ac:dyDescent="0.45">
      <c r="A3" t="s">
        <v>7</v>
      </c>
      <c r="B3">
        <v>20</v>
      </c>
      <c r="C3" t="s">
        <v>8</v>
      </c>
      <c r="D3" t="s">
        <v>6</v>
      </c>
    </row>
    <row r="4" spans="1:4" x14ac:dyDescent="0.45">
      <c r="A4" t="s">
        <v>9</v>
      </c>
      <c r="B4">
        <v>2.5</v>
      </c>
      <c r="C4" t="s">
        <v>10</v>
      </c>
      <c r="D4" t="s">
        <v>6</v>
      </c>
    </row>
    <row r="5" spans="1:4" x14ac:dyDescent="0.45">
      <c r="A5" t="s">
        <v>11</v>
      </c>
      <c r="B5">
        <v>880</v>
      </c>
      <c r="C5" t="s">
        <v>5</v>
      </c>
      <c r="D5" t="s">
        <v>6</v>
      </c>
    </row>
    <row r="6" spans="1:4" x14ac:dyDescent="0.45">
      <c r="A6" t="s">
        <v>12</v>
      </c>
      <c r="B6">
        <v>0.1</v>
      </c>
      <c r="C6" t="s">
        <v>13</v>
      </c>
      <c r="D6" t="s">
        <v>6</v>
      </c>
    </row>
    <row r="7" spans="1:4" x14ac:dyDescent="0.45">
      <c r="A7" t="s">
        <v>14</v>
      </c>
      <c r="B7">
        <v>2094</v>
      </c>
      <c r="C7" t="s">
        <v>5</v>
      </c>
      <c r="D7" t="s">
        <v>6</v>
      </c>
    </row>
    <row r="8" spans="1:4" x14ac:dyDescent="0.45">
      <c r="A8" t="s">
        <v>15</v>
      </c>
      <c r="B8">
        <v>20</v>
      </c>
      <c r="C8" t="s">
        <v>8</v>
      </c>
      <c r="D8" t="s">
        <v>6</v>
      </c>
    </row>
    <row r="9" spans="1:4" x14ac:dyDescent="0.45">
      <c r="A9" t="s">
        <v>16</v>
      </c>
      <c r="B9">
        <f>5/6</f>
        <v>0.83333333333333337</v>
      </c>
      <c r="C9" t="s">
        <v>10</v>
      </c>
      <c r="D9" t="s">
        <v>17</v>
      </c>
    </row>
    <row r="10" spans="1:4" x14ac:dyDescent="0.45">
      <c r="A10" t="s">
        <v>18</v>
      </c>
      <c r="B10">
        <v>440</v>
      </c>
      <c r="C10" t="s">
        <v>5</v>
      </c>
      <c r="D10" t="s">
        <v>6</v>
      </c>
    </row>
    <row r="11" spans="1:4" x14ac:dyDescent="0.45">
      <c r="A11" t="s">
        <v>19</v>
      </c>
      <c r="B11">
        <v>2.5000000000000001E-2</v>
      </c>
      <c r="C11" t="s">
        <v>13</v>
      </c>
      <c r="D11" t="s">
        <v>6</v>
      </c>
    </row>
    <row r="12" spans="1:4" x14ac:dyDescent="0.45">
      <c r="A12" t="s">
        <v>20</v>
      </c>
      <c r="B12">
        <v>2700</v>
      </c>
      <c r="C12" t="s">
        <v>5</v>
      </c>
      <c r="D12" t="s">
        <v>6</v>
      </c>
    </row>
    <row r="13" spans="1:4" x14ac:dyDescent="0.45">
      <c r="A13" t="s">
        <v>21</v>
      </c>
      <c r="B13">
        <v>30</v>
      </c>
      <c r="C13" t="s">
        <v>8</v>
      </c>
      <c r="D13" t="s">
        <v>6</v>
      </c>
    </row>
    <row r="14" spans="1:4" x14ac:dyDescent="0.45">
      <c r="A14" t="s">
        <v>22</v>
      </c>
      <c r="B14">
        <v>1.25</v>
      </c>
      <c r="C14" t="s">
        <v>10</v>
      </c>
      <c r="D14" t="s">
        <v>6</v>
      </c>
    </row>
    <row r="15" spans="1:4" x14ac:dyDescent="0.45">
      <c r="A15" t="s">
        <v>23</v>
      </c>
      <c r="B15">
        <v>880</v>
      </c>
      <c r="C15" t="s">
        <v>5</v>
      </c>
      <c r="D15" t="s">
        <v>6</v>
      </c>
    </row>
    <row r="16" spans="1:4" x14ac:dyDescent="0.45">
      <c r="A16" t="s">
        <v>24</v>
      </c>
      <c r="B16">
        <v>1.2500000000000001E-2</v>
      </c>
      <c r="C16" t="s">
        <v>13</v>
      </c>
      <c r="D16" t="s">
        <v>6</v>
      </c>
    </row>
    <row r="17" spans="1:4" x14ac:dyDescent="0.45">
      <c r="A17" t="s">
        <v>25</v>
      </c>
      <c r="B17">
        <v>36</v>
      </c>
      <c r="C17" t="s">
        <v>26</v>
      </c>
      <c r="D17" t="s">
        <v>6</v>
      </c>
    </row>
    <row r="18" spans="1:4" x14ac:dyDescent="0.45">
      <c r="A18" t="s">
        <v>27</v>
      </c>
      <c r="B18">
        <v>64</v>
      </c>
      <c r="C18" t="s">
        <v>8</v>
      </c>
      <c r="D18" t="s">
        <v>6</v>
      </c>
    </row>
    <row r="19" spans="1:4" x14ac:dyDescent="0.45">
      <c r="A19" t="s">
        <v>28</v>
      </c>
      <c r="B19">
        <v>50000</v>
      </c>
      <c r="C19" t="s">
        <v>29</v>
      </c>
      <c r="D19" t="s">
        <v>6</v>
      </c>
    </row>
    <row r="20" spans="1:4" x14ac:dyDescent="0.45">
      <c r="A20" t="s">
        <v>30</v>
      </c>
      <c r="B20">
        <v>0.5</v>
      </c>
      <c r="C20" t="s">
        <v>31</v>
      </c>
      <c r="D20" t="s">
        <v>6</v>
      </c>
    </row>
    <row r="21" spans="1:4" x14ac:dyDescent="0.45">
      <c r="A21" t="s">
        <v>32</v>
      </c>
      <c r="B21">
        <v>720</v>
      </c>
      <c r="C21" t="s">
        <v>33</v>
      </c>
      <c r="D21" t="s">
        <v>6</v>
      </c>
    </row>
    <row r="22" spans="1:4" x14ac:dyDescent="0.45">
      <c r="A22" t="s">
        <v>34</v>
      </c>
      <c r="B22">
        <f>FARMER_SALARY*FARMER_FIELD_SHARE/FARMER_HOURS</f>
        <v>34.722222222222221</v>
      </c>
      <c r="C22" t="s">
        <v>35</v>
      </c>
      <c r="D22" t="s">
        <v>36</v>
      </c>
    </row>
    <row r="23" spans="1:4" x14ac:dyDescent="0.45">
      <c r="A23" t="s">
        <v>37</v>
      </c>
      <c r="B23">
        <v>4</v>
      </c>
      <c r="C23" t="s">
        <v>38</v>
      </c>
      <c r="D23" t="s">
        <v>6</v>
      </c>
    </row>
    <row r="24" spans="1:4" x14ac:dyDescent="0.45">
      <c r="A24" t="s">
        <v>39</v>
      </c>
      <c r="B24">
        <v>25000</v>
      </c>
      <c r="C24" t="s">
        <v>40</v>
      </c>
      <c r="D24" t="s">
        <v>6</v>
      </c>
    </row>
    <row r="25" spans="1:4" x14ac:dyDescent="0.45">
      <c r="A25" t="s">
        <v>41</v>
      </c>
      <c r="B25">
        <v>1440</v>
      </c>
      <c r="C25" t="s">
        <v>42</v>
      </c>
      <c r="D25" t="s">
        <v>6</v>
      </c>
    </row>
    <row r="26" spans="1:4" x14ac:dyDescent="0.45">
      <c r="A26" t="s">
        <v>43</v>
      </c>
      <c r="B26">
        <f>TEMP_WAGE/TEMP_WORKER_HOURS</f>
        <v>17.361111111111111</v>
      </c>
      <c r="C26" t="s">
        <v>35</v>
      </c>
      <c r="D26" t="s">
        <v>44</v>
      </c>
    </row>
    <row r="27" spans="1:4" x14ac:dyDescent="0.45">
      <c r="A27" t="s">
        <v>45</v>
      </c>
      <c r="B27">
        <v>20000</v>
      </c>
      <c r="C27" t="s">
        <v>46</v>
      </c>
      <c r="D27" t="s">
        <v>6</v>
      </c>
    </row>
    <row r="28" spans="1:4" x14ac:dyDescent="0.45">
      <c r="A28" t="s">
        <v>47</v>
      </c>
      <c r="B28">
        <v>21</v>
      </c>
      <c r="C28" t="s">
        <v>8</v>
      </c>
      <c r="D28" t="s">
        <v>48</v>
      </c>
    </row>
    <row r="29" spans="1:4" x14ac:dyDescent="0.45">
      <c r="A29" t="s">
        <v>49</v>
      </c>
      <c r="B29">
        <v>31</v>
      </c>
      <c r="C29" t="s">
        <v>8</v>
      </c>
      <c r="D29" t="s">
        <v>50</v>
      </c>
    </row>
    <row r="30" spans="1:4" x14ac:dyDescent="0.45">
      <c r="A30" t="s">
        <v>51</v>
      </c>
      <c r="B30">
        <v>24</v>
      </c>
      <c r="C30" t="s">
        <v>8</v>
      </c>
      <c r="D30" t="s">
        <v>52</v>
      </c>
    </row>
    <row r="31" spans="1:4" x14ac:dyDescent="0.45">
      <c r="A31" t="s">
        <v>53</v>
      </c>
      <c r="B31">
        <v>34</v>
      </c>
      <c r="C31" t="s">
        <v>8</v>
      </c>
      <c r="D31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5"/>
  <sheetViews>
    <sheetView tabSelected="1" workbookViewId="0">
      <selection activeCell="I15" sqref="I15"/>
    </sheetView>
  </sheetViews>
  <sheetFormatPr defaultRowHeight="14.25" x14ac:dyDescent="0.45"/>
  <cols>
    <col min="2" max="2" width="34" customWidth="1"/>
    <col min="3" max="6" width="20" customWidth="1"/>
  </cols>
  <sheetData>
    <row r="1" spans="2:6" x14ac:dyDescent="0.45">
      <c r="B1" s="2" t="s">
        <v>54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2:6" x14ac:dyDescent="0.45">
      <c r="B2" t="s">
        <v>59</v>
      </c>
      <c r="C2">
        <v>10</v>
      </c>
      <c r="D2">
        <v>10</v>
      </c>
      <c r="E2">
        <v>10</v>
      </c>
      <c r="F2">
        <v>10</v>
      </c>
    </row>
    <row r="3" spans="2:6" x14ac:dyDescent="0.45">
      <c r="B3" t="s">
        <v>60</v>
      </c>
      <c r="C3">
        <v>20</v>
      </c>
      <c r="D3">
        <v>21</v>
      </c>
      <c r="E3">
        <v>20</v>
      </c>
      <c r="F3">
        <v>23</v>
      </c>
    </row>
    <row r="4" spans="2:6" x14ac:dyDescent="0.45">
      <c r="B4" t="s">
        <v>61</v>
      </c>
      <c r="C4">
        <v>30</v>
      </c>
      <c r="D4">
        <v>30</v>
      </c>
      <c r="E4">
        <v>31</v>
      </c>
      <c r="F4">
        <v>31</v>
      </c>
    </row>
    <row r="5" spans="2:6" x14ac:dyDescent="0.45">
      <c r="B5" t="s">
        <v>62</v>
      </c>
      <c r="C5">
        <f>SUM(C2:C4)</f>
        <v>60</v>
      </c>
      <c r="D5">
        <f>SUM(D2:D4)</f>
        <v>61</v>
      </c>
      <c r="E5">
        <f>SUM(E2:E4)</f>
        <v>61</v>
      </c>
      <c r="F5">
        <f>SUM(F2:F4)</f>
        <v>64</v>
      </c>
    </row>
    <row r="7" spans="2:6" x14ac:dyDescent="0.45">
      <c r="B7" t="s">
        <v>63</v>
      </c>
      <c r="C7">
        <f>C2*TOMATO_BASE_LABOR*WEEKS*(1+TOMATO_DIM_PCT)^C2</f>
        <v>2334.3682140900019</v>
      </c>
      <c r="D7">
        <f>D2*TOMATO_BASE_LABOR*WEEKS*(1+TOMATO_DIM_PCT)^D2</f>
        <v>2334.3682140900019</v>
      </c>
      <c r="E7">
        <f>E2*TOMATO_BASE_LABOR*WEEKS*(1+TOMATO_DIM_PCT)^E2</f>
        <v>2334.3682140900019</v>
      </c>
      <c r="F7">
        <f>F2*TOMATO_BASE_LABOR*WEEKS*(1+TOMATO_DIM_PCT)^F2</f>
        <v>2334.3682140900019</v>
      </c>
    </row>
    <row r="8" spans="2:6" x14ac:dyDescent="0.45">
      <c r="B8" t="s">
        <v>64</v>
      </c>
      <c r="C8">
        <f>C3*CARROT_BASE_LABOR*WEEKS*(1+CARROT_DIM_PCT)^C3</f>
        <v>983.16986417423732</v>
      </c>
      <c r="D8">
        <f>D3*CARROT_BASE_LABOR*WEEKS*(1+CARROT_DIM_PCT)^D3</f>
        <v>1058.1365663175229</v>
      </c>
      <c r="E8">
        <f>E3*CARROT_BASE_LABOR*WEEKS*(1+CARROT_DIM_PCT)^E3</f>
        <v>983.16986417423732</v>
      </c>
      <c r="F8">
        <f>F3*CARROT_BASE_LABOR*WEEKS*(1+CARROT_DIM_PCT)^F3</f>
        <v>1217.5813709385234</v>
      </c>
    </row>
    <row r="9" spans="2:6" x14ac:dyDescent="0.45">
      <c r="B9" t="s">
        <v>65</v>
      </c>
      <c r="C9">
        <f>C4*MESCLUN_BASE_LABOR*WEEKS*(1+MESCLUN_DIM_PCT)^C4</f>
        <v>1959.6780360096488</v>
      </c>
      <c r="D9">
        <f>D4*MESCLUN_BASE_LABOR*WEEKS*(1+MESCLUN_DIM_PCT)^D4</f>
        <v>1959.6780360096488</v>
      </c>
      <c r="E9">
        <f>E4*MESCLUN_BASE_LABOR*WEEKS*(1+MESCLUN_DIM_PCT)^E4</f>
        <v>2050.3131451750946</v>
      </c>
      <c r="F9">
        <f>F4*MESCLUN_BASE_LABOR*WEEKS*(1+MESCLUN_DIM_PCT)^F4</f>
        <v>2050.3131451750946</v>
      </c>
    </row>
    <row r="10" spans="2:6" x14ac:dyDescent="0.45">
      <c r="B10" t="s">
        <v>66</v>
      </c>
      <c r="C10">
        <f>SUM(C7:C9)</f>
        <v>5277.2161142738878</v>
      </c>
      <c r="D10">
        <f>SUM(D7:D9)</f>
        <v>5352.1828164171739</v>
      </c>
      <c r="E10">
        <f>SUM(E7:E9)</f>
        <v>5367.8512234393338</v>
      </c>
      <c r="F10">
        <f>SUM(F7:F9)</f>
        <v>5602.2627302036199</v>
      </c>
    </row>
    <row r="11" spans="2:6" x14ac:dyDescent="0.45">
      <c r="B11" t="s">
        <v>67</v>
      </c>
      <c r="C11">
        <f>MIN(C10,FARMER_HOURS)</f>
        <v>720</v>
      </c>
      <c r="D11">
        <f>MIN(D10,FARMER_HOURS)</f>
        <v>720</v>
      </c>
      <c r="E11">
        <f>MIN(E10,FARMER_HOURS)</f>
        <v>720</v>
      </c>
      <c r="F11">
        <f>MIN(F10,FARMER_HOURS)</f>
        <v>720</v>
      </c>
    </row>
    <row r="12" spans="2:6" x14ac:dyDescent="0.45">
      <c r="B12" t="s">
        <v>68</v>
      </c>
      <c r="C12">
        <f>MAX(0,C10-FARMER_HOURS)</f>
        <v>4557.2161142738878</v>
      </c>
      <c r="D12">
        <f>MAX(0,D10-FARMER_HOURS)</f>
        <v>4632.1828164171739</v>
      </c>
      <c r="E12">
        <f>MAX(0,E10-FARMER_HOURS)</f>
        <v>4647.8512234393338</v>
      </c>
      <c r="F12">
        <f>MAX(0,F10-FARMER_HOURS)</f>
        <v>4882.2627302036199</v>
      </c>
    </row>
    <row r="13" spans="2:6" x14ac:dyDescent="0.45">
      <c r="B13" t="s">
        <v>69</v>
      </c>
      <c r="C13">
        <f>IF(C12=0,0,ROUNDUP(C12/TEMP_WORKER_HOURS,0))</f>
        <v>4</v>
      </c>
      <c r="D13">
        <f>IF(D12=0,0,ROUNDUP(D12/TEMP_WORKER_HOURS,0))</f>
        <v>4</v>
      </c>
      <c r="E13">
        <f>IF(E12=0,0,ROUNDUP(E12/TEMP_WORKER_HOURS,0))</f>
        <v>4</v>
      </c>
      <c r="F13">
        <f>IF(F12=0,0,ROUNDUP(F12/TEMP_WORKER_HOURS,0))</f>
        <v>4</v>
      </c>
    </row>
    <row r="14" spans="2:6" x14ac:dyDescent="0.45">
      <c r="B14" t="s">
        <v>70</v>
      </c>
      <c r="C14">
        <f>C11*FARMER_HOURLY_RATE+C12*TEMP_WORKER_HOURLY_RATE</f>
        <v>104118.335317255</v>
      </c>
      <c r="D14">
        <f>D11*FARMER_HOURLY_RATE+D12*TEMP_WORKER_HOURLY_RATE</f>
        <v>105419.84056279816</v>
      </c>
      <c r="E14">
        <f>E11*FARMER_HOURLY_RATE+E12*TEMP_WORKER_HOURLY_RATE</f>
        <v>105691.86151804398</v>
      </c>
      <c r="F14">
        <f>F11*FARMER_HOURLY_RATE+F12*TEMP_WORKER_HOURLY_RATE</f>
        <v>109761.50573270173</v>
      </c>
    </row>
    <row r="15" spans="2:6" x14ac:dyDescent="0.45">
      <c r="B15" t="s">
        <v>71</v>
      </c>
      <c r="C15">
        <f>IF(C10=0,0,C14/C10)</f>
        <v>19.729784239010844</v>
      </c>
      <c r="D15">
        <f>IF(D10=0,0,D14/D10)</f>
        <v>19.696606819826023</v>
      </c>
      <c r="E15">
        <f>IF(E10=0,0,E14/E10)</f>
        <v>19.689789660437761</v>
      </c>
      <c r="F15">
        <f>IF(F10=0,0,F14/F10)</f>
        <v>19.592352415202122</v>
      </c>
    </row>
    <row r="17" spans="2:6" x14ac:dyDescent="0.45">
      <c r="B17" t="s">
        <v>72</v>
      </c>
      <c r="C17">
        <f>C2*TOMATO_FERTILIZER+C3*CARROT_FERTILIZER+C4*MESCLUN_FERTILIZER</f>
        <v>44000</v>
      </c>
      <c r="D17">
        <f>D2*TOMATO_FERTILIZER+D3*CARROT_FERTILIZER+D4*MESCLUN_FERTILIZER</f>
        <v>44440</v>
      </c>
      <c r="E17">
        <f>E2*TOMATO_FERTILIZER+E3*CARROT_FERTILIZER+E4*MESCLUN_FERTILIZER</f>
        <v>44880</v>
      </c>
      <c r="F17">
        <f>F2*TOMATO_FERTILIZER+F3*CARROT_FERTILIZER+F4*MESCLUN_FERTILIZER</f>
        <v>46200</v>
      </c>
    </row>
    <row r="18" spans="2:6" x14ac:dyDescent="0.45">
      <c r="B18" t="s">
        <v>73</v>
      </c>
      <c r="C18">
        <f>C2*TOMATO_PRICE+C3*CARROT_PRICE+C4*MESCLUN_PRICE</f>
        <v>210880</v>
      </c>
      <c r="D18">
        <f>D2*TOMATO_PRICE+D3*CARROT_PRICE+D4*MESCLUN_PRICE</f>
        <v>212974</v>
      </c>
      <c r="E18">
        <f>E2*TOMATO_PRICE+E3*CARROT_PRICE+E4*MESCLUN_PRICE</f>
        <v>213580</v>
      </c>
      <c r="F18">
        <f>F2*TOMATO_PRICE+F3*CARROT_PRICE+F4*MESCLUN_PRICE</f>
        <v>219862</v>
      </c>
    </row>
    <row r="19" spans="2:6" x14ac:dyDescent="0.45">
      <c r="B19" t="s">
        <v>74</v>
      </c>
      <c r="C19" s="4">
        <f>C18-C17-C14-FIXED_COSTS</f>
        <v>42761.664682745002</v>
      </c>
      <c r="D19" s="4">
        <f>D18-D17-D14-FIXED_COSTS</f>
        <v>43114.159437201844</v>
      </c>
      <c r="E19" s="4">
        <f>E18-E17-E14-FIXED_COSTS</f>
        <v>43008.138481956019</v>
      </c>
      <c r="F19" s="4">
        <f>F18-F17-F14-FIXED_COSTS</f>
        <v>43900.494267298272</v>
      </c>
    </row>
    <row r="21" spans="2:6" x14ac:dyDescent="0.45">
      <c r="B21" t="s">
        <v>75</v>
      </c>
      <c r="C21" t="b">
        <f>C5&lt;=TOTAL_BED_CAP</f>
        <v>1</v>
      </c>
      <c r="D21" t="b">
        <f>D5&lt;=TOTAL_BED_CAP</f>
        <v>1</v>
      </c>
      <c r="E21" t="b">
        <f>E5&lt;=TOTAL_BED_CAP</f>
        <v>1</v>
      </c>
      <c r="F21" t="b">
        <f>F5&lt;=TOTAL_BED_CAP</f>
        <v>1</v>
      </c>
    </row>
    <row r="22" spans="2:6" x14ac:dyDescent="0.45">
      <c r="B22" t="s">
        <v>76</v>
      </c>
      <c r="C22" t="b">
        <f>C2&lt;=TOMATO_BED_CAP</f>
        <v>1</v>
      </c>
      <c r="D22" t="b">
        <f>D2&lt;=TOMATO_BED_CAP</f>
        <v>1</v>
      </c>
      <c r="E22" t="b">
        <f>E2&lt;=TOMATO_BED_CAP</f>
        <v>1</v>
      </c>
      <c r="F22" t="b">
        <f>F2&lt;=TOMATO_BED_CAP</f>
        <v>1</v>
      </c>
    </row>
    <row r="23" spans="2:6" x14ac:dyDescent="0.45">
      <c r="B23" t="s">
        <v>77</v>
      </c>
      <c r="C23" t="b">
        <f>C3&lt;=CARROT_BED_CAP</f>
        <v>1</v>
      </c>
      <c r="D23" t="b">
        <f>D3&lt;=CARROT_BED_CAP_ISOLATED</f>
        <v>1</v>
      </c>
      <c r="E23" t="b">
        <f>E3&lt;=CARROT_BED_CAP</f>
        <v>1</v>
      </c>
      <c r="F23" t="b">
        <f>F3&lt;=CARROT_BED_CAP_JOINT</f>
        <v>1</v>
      </c>
    </row>
    <row r="24" spans="2:6" x14ac:dyDescent="0.45">
      <c r="B24" t="s">
        <v>78</v>
      </c>
      <c r="C24" t="b">
        <f>C4&lt;=MESCLUN_BED_CAP</f>
        <v>1</v>
      </c>
      <c r="D24" t="b">
        <f>D4&lt;=MESCLUN_BED_CAP</f>
        <v>1</v>
      </c>
      <c r="E24" t="b">
        <f>E4&lt;=MESCLUN_BED_CAP_ISOLATED</f>
        <v>1</v>
      </c>
      <c r="F24" t="b">
        <f>F4&lt;=MESCLUN_BED_CAP_JOINT</f>
        <v>1</v>
      </c>
    </row>
    <row r="25" spans="2:6" x14ac:dyDescent="0.45">
      <c r="B25" t="s">
        <v>79</v>
      </c>
      <c r="C25" t="b">
        <f>C13&lt;=TEMP_WORKER_MAX_COUNT</f>
        <v>1</v>
      </c>
      <c r="D25" t="b">
        <f>D13&lt;=TEMP_WORKER_MAX_COUNT</f>
        <v>1</v>
      </c>
      <c r="E25" t="b">
        <f>E13&lt;=TEMP_WORKER_MAX_COUNT</f>
        <v>1</v>
      </c>
      <c r="F25" t="b">
        <f>F13&lt;=TEMP_WORKER_MAX_COUNT</f>
        <v>1</v>
      </c>
    </row>
  </sheetData>
  <conditionalFormatting sqref="C21:F25">
    <cfRule type="cellIs" dxfId="3" priority="1" operator="equal">
      <formula>TRUE</formula>
    </cfRule>
    <cfRule type="cellIs" dxfId="2" priority="2" operator="equal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workbookViewId="0"/>
  </sheetViews>
  <sheetFormatPr defaultRowHeight="14.25" x14ac:dyDescent="0.45"/>
  <cols>
    <col min="1" max="1" width="42" customWidth="1"/>
    <col min="2" max="2" width="16" customWidth="1"/>
    <col min="3" max="4" width="12" customWidth="1"/>
    <col min="5" max="5" width="10" customWidth="1"/>
  </cols>
  <sheetData>
    <row r="1" spans="1:5" x14ac:dyDescent="0.4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3" spans="1:5" x14ac:dyDescent="0.45">
      <c r="A3" s="3" t="s">
        <v>85</v>
      </c>
    </row>
    <row r="4" spans="1:5" x14ac:dyDescent="0.45">
      <c r="A4" t="s">
        <v>86</v>
      </c>
      <c r="B4">
        <f>10*TOMATO_BASE_LABOR*WEEKS*(1+TOMATO_DIM_PCT)^10</f>
        <v>2334.3682140900019</v>
      </c>
    </row>
    <row r="5" spans="1:5" x14ac:dyDescent="0.45">
      <c r="A5" t="s">
        <v>87</v>
      </c>
      <c r="B5">
        <f>11*TOMATO_BASE_LABOR*WEEKS*(1+TOMATO_DIM_PCT)^11</f>
        <v>2824.5855390489023</v>
      </c>
    </row>
    <row r="6" spans="1:5" x14ac:dyDescent="0.45">
      <c r="A6" t="s">
        <v>88</v>
      </c>
      <c r="B6">
        <f>B5-B4</f>
        <v>490.21732495890046</v>
      </c>
    </row>
    <row r="7" spans="1:5" x14ac:dyDescent="0.45">
      <c r="A7" t="s">
        <v>89</v>
      </c>
      <c r="B7">
        <f>B6*TEMP_WORKER_HOURLY_RATE+TOMATO_FERTILIZER</f>
        <v>9390.7174472031329</v>
      </c>
    </row>
    <row r="8" spans="1:5" x14ac:dyDescent="0.45">
      <c r="A8" s="3" t="s">
        <v>90</v>
      </c>
    </row>
    <row r="9" spans="1:5" x14ac:dyDescent="0.45">
      <c r="A9" t="s">
        <v>91</v>
      </c>
      <c r="B9">
        <f>1*TOMATO_BASE_LABOR*WEEKS*(1+TOMATO_DIM_PCT)^1</f>
        <v>99.000000000000014</v>
      </c>
      <c r="C9">
        <v>99</v>
      </c>
      <c r="D9">
        <v>0.01</v>
      </c>
      <c r="E9" t="b">
        <f t="shared" ref="E9:E16" si="0">ABS(B9-C9)&lt;=D9</f>
        <v>1</v>
      </c>
    </row>
    <row r="10" spans="1:5" x14ac:dyDescent="0.45">
      <c r="A10" t="s">
        <v>92</v>
      </c>
      <c r="B10">
        <f>Model!C2</f>
        <v>10</v>
      </c>
      <c r="C10">
        <v>10</v>
      </c>
      <c r="D10">
        <v>0</v>
      </c>
      <c r="E10" t="b">
        <f t="shared" si="0"/>
        <v>1</v>
      </c>
    </row>
    <row r="11" spans="1:5" x14ac:dyDescent="0.45">
      <c r="A11" t="s">
        <v>93</v>
      </c>
      <c r="B11">
        <f>Model!C3</f>
        <v>20</v>
      </c>
      <c r="C11">
        <v>20</v>
      </c>
      <c r="D11">
        <v>0</v>
      </c>
      <c r="E11" t="b">
        <f t="shared" si="0"/>
        <v>1</v>
      </c>
    </row>
    <row r="12" spans="1:5" x14ac:dyDescent="0.45">
      <c r="A12" t="s">
        <v>94</v>
      </c>
      <c r="B12">
        <f>Model!C4</f>
        <v>30</v>
      </c>
      <c r="C12">
        <v>30</v>
      </c>
      <c r="D12">
        <v>0</v>
      </c>
      <c r="E12" t="b">
        <f t="shared" si="0"/>
        <v>1</v>
      </c>
    </row>
    <row r="13" spans="1:5" x14ac:dyDescent="0.45">
      <c r="A13" t="s">
        <v>95</v>
      </c>
      <c r="B13">
        <f>Model!C19</f>
        <v>42761.664682745002</v>
      </c>
      <c r="C13">
        <v>42762</v>
      </c>
      <c r="D13">
        <v>1</v>
      </c>
      <c r="E13" t="b">
        <f t="shared" si="0"/>
        <v>1</v>
      </c>
    </row>
    <row r="14" spans="1:5" x14ac:dyDescent="0.45">
      <c r="A14" t="s">
        <v>96</v>
      </c>
      <c r="B14">
        <f>B7</f>
        <v>9390.7174472031329</v>
      </c>
      <c r="C14">
        <v>9390.7199999999993</v>
      </c>
      <c r="D14">
        <v>1</v>
      </c>
      <c r="E14" t="b">
        <f t="shared" si="0"/>
        <v>1</v>
      </c>
    </row>
    <row r="15" spans="1:5" x14ac:dyDescent="0.45">
      <c r="A15" t="s">
        <v>97</v>
      </c>
      <c r="B15">
        <f>Model!D19-Model!C19</f>
        <v>352.4947544568422</v>
      </c>
      <c r="C15">
        <v>352</v>
      </c>
      <c r="D15">
        <v>5</v>
      </c>
      <c r="E15" t="b">
        <f t="shared" si="0"/>
        <v>1</v>
      </c>
    </row>
    <row r="16" spans="1:5" x14ac:dyDescent="0.45">
      <c r="A16" t="s">
        <v>98</v>
      </c>
      <c r="B16">
        <f>Model!E19-Model!C19</f>
        <v>246.47379921101674</v>
      </c>
      <c r="C16">
        <v>246</v>
      </c>
      <c r="D16">
        <v>5</v>
      </c>
      <c r="E16" t="b">
        <f t="shared" si="0"/>
        <v>1</v>
      </c>
    </row>
    <row r="17" spans="1:5" x14ac:dyDescent="0.45">
      <c r="A17" t="s">
        <v>99</v>
      </c>
      <c r="B17">
        <f>Model!C12</f>
        <v>4557.2161142738878</v>
      </c>
      <c r="C17">
        <v>5760</v>
      </c>
      <c r="D17" t="s">
        <v>100</v>
      </c>
      <c r="E17" t="b">
        <f>B17&lt;=C17</f>
        <v>1</v>
      </c>
    </row>
  </sheetData>
  <conditionalFormatting sqref="E9:E17">
    <cfRule type="cellIs" dxfId="1" priority="1" operator="equal">
      <formula>TRUE</formula>
    </cfRule>
    <cfRule type="cellIs" dxfId="0" priority="2" operator="equal">
      <formula>FALSE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/>
  </sheetViews>
  <sheetFormatPr defaultRowHeight="14.25" x14ac:dyDescent="0.45"/>
  <cols>
    <col min="1" max="1" width="34" customWidth="1"/>
    <col min="2" max="2" width="10" customWidth="1"/>
    <col min="3" max="3" width="14" customWidth="1"/>
    <col min="4" max="4" width="55" customWidth="1"/>
  </cols>
  <sheetData>
    <row r="1" spans="1:4" x14ac:dyDescent="0.45">
      <c r="A1" s="1" t="s">
        <v>101</v>
      </c>
      <c r="B1" s="1" t="s">
        <v>2</v>
      </c>
      <c r="C1" s="1" t="s">
        <v>1</v>
      </c>
      <c r="D1" s="1" t="s">
        <v>102</v>
      </c>
    </row>
    <row r="2" spans="1:4" x14ac:dyDescent="0.45">
      <c r="A2" t="s">
        <v>103</v>
      </c>
      <c r="B2" t="s">
        <v>8</v>
      </c>
      <c r="C2">
        <f>Model!C2</f>
        <v>10</v>
      </c>
      <c r="D2" t="s">
        <v>104</v>
      </c>
    </row>
    <row r="3" spans="1:4" x14ac:dyDescent="0.45">
      <c r="A3" t="s">
        <v>105</v>
      </c>
      <c r="B3" t="s">
        <v>8</v>
      </c>
      <c r="C3">
        <f>Model!C3</f>
        <v>20</v>
      </c>
      <c r="D3" t="s">
        <v>106</v>
      </c>
    </row>
    <row r="4" spans="1:4" x14ac:dyDescent="0.45">
      <c r="A4" t="s">
        <v>107</v>
      </c>
      <c r="B4" t="s">
        <v>8</v>
      </c>
      <c r="C4">
        <f>Model!C4</f>
        <v>30</v>
      </c>
      <c r="D4" t="s">
        <v>108</v>
      </c>
    </row>
    <row r="5" spans="1:4" x14ac:dyDescent="0.45">
      <c r="A5" t="s">
        <v>109</v>
      </c>
      <c r="B5" t="s">
        <v>8</v>
      </c>
      <c r="C5">
        <f>Model!C5</f>
        <v>60</v>
      </c>
      <c r="D5" t="s">
        <v>110</v>
      </c>
    </row>
    <row r="6" spans="1:4" x14ac:dyDescent="0.45">
      <c r="A6" t="s">
        <v>111</v>
      </c>
      <c r="B6" t="s">
        <v>33</v>
      </c>
      <c r="C6">
        <f>Model!C10</f>
        <v>5277.2161142738878</v>
      </c>
      <c r="D6" t="s">
        <v>112</v>
      </c>
    </row>
    <row r="7" spans="1:4" x14ac:dyDescent="0.45">
      <c r="A7" t="s">
        <v>113</v>
      </c>
      <c r="B7" t="s">
        <v>114</v>
      </c>
      <c r="C7">
        <f>Model!C15</f>
        <v>19.729784239010844</v>
      </c>
      <c r="D7" t="s">
        <v>115</v>
      </c>
    </row>
    <row r="8" spans="1:4" x14ac:dyDescent="0.45">
      <c r="A8" t="s">
        <v>116</v>
      </c>
      <c r="B8" t="s">
        <v>46</v>
      </c>
      <c r="C8">
        <f>Model!C19</f>
        <v>42761.664682745002</v>
      </c>
      <c r="D8" t="s">
        <v>117</v>
      </c>
    </row>
    <row r="9" spans="1:4" x14ac:dyDescent="0.45">
      <c r="A9" t="s">
        <v>118</v>
      </c>
      <c r="B9" t="s">
        <v>46</v>
      </c>
      <c r="C9">
        <f>Validation!B7</f>
        <v>9390.7174472031329</v>
      </c>
      <c r="D9" t="s">
        <v>119</v>
      </c>
    </row>
    <row r="10" spans="1:4" x14ac:dyDescent="0.45">
      <c r="A10" t="s">
        <v>97</v>
      </c>
      <c r="B10" t="s">
        <v>46</v>
      </c>
      <c r="C10">
        <f>Model!D19-Model!C19</f>
        <v>352.4947544568422</v>
      </c>
      <c r="D10" t="s">
        <v>120</v>
      </c>
    </row>
    <row r="11" spans="1:4" x14ac:dyDescent="0.45">
      <c r="A11" t="s">
        <v>98</v>
      </c>
      <c r="B11" t="s">
        <v>46</v>
      </c>
      <c r="C11">
        <f>Model!E19-Model!C19</f>
        <v>246.47379921101674</v>
      </c>
      <c r="D11" t="s">
        <v>121</v>
      </c>
    </row>
    <row r="12" spans="1:4" x14ac:dyDescent="0.45">
      <c r="A12" t="s">
        <v>122</v>
      </c>
      <c r="B12" t="s">
        <v>46</v>
      </c>
      <c r="C12">
        <f>Model!F19</f>
        <v>43900.494267298272</v>
      </c>
      <c r="D12" t="s">
        <v>123</v>
      </c>
    </row>
    <row r="13" spans="1:4" x14ac:dyDescent="0.45">
      <c r="A13" t="s">
        <v>124</v>
      </c>
      <c r="B13" t="s">
        <v>46</v>
      </c>
      <c r="C13">
        <f>Model!F19-Model!C19</f>
        <v>1138.8295845532703</v>
      </c>
      <c r="D13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30</vt:i4>
      </vt:variant>
    </vt:vector>
  </HeadingPairs>
  <TitlesOfParts>
    <vt:vector size="34" baseType="lpstr">
      <vt:lpstr>Inputs</vt:lpstr>
      <vt:lpstr>Model</vt:lpstr>
      <vt:lpstr>Validation</vt:lpstr>
      <vt:lpstr>Outputs</vt:lpstr>
      <vt:lpstr>CARROT_BASE_LABOR</vt:lpstr>
      <vt:lpstr>CARROT_BED_CAP</vt:lpstr>
      <vt:lpstr>CARROT_BED_CAP_ISOLATED</vt:lpstr>
      <vt:lpstr>CARROT_BED_CAP_JOINT</vt:lpstr>
      <vt:lpstr>CARROT_DIM_PCT</vt:lpstr>
      <vt:lpstr>CARROT_FERTILIZER</vt:lpstr>
      <vt:lpstr>CARROT_PRICE</vt:lpstr>
      <vt:lpstr>FARMER_FIELD_SHARE</vt:lpstr>
      <vt:lpstr>FARMER_HOURLY_RATE</vt:lpstr>
      <vt:lpstr>FARMER_HOURS</vt:lpstr>
      <vt:lpstr>FARMER_SALARY</vt:lpstr>
      <vt:lpstr>FIXED_COSTS</vt:lpstr>
      <vt:lpstr>MESCLUN_BASE_LABOR</vt:lpstr>
      <vt:lpstr>MESCLUN_BED_CAP</vt:lpstr>
      <vt:lpstr>MESCLUN_BED_CAP_ISOLATED</vt:lpstr>
      <vt:lpstr>MESCLUN_BED_CAP_JOINT</vt:lpstr>
      <vt:lpstr>MESCLUN_DIM_PCT</vt:lpstr>
      <vt:lpstr>MESCLUN_FERTILIZER</vt:lpstr>
      <vt:lpstr>MESCLUN_PRICE</vt:lpstr>
      <vt:lpstr>TEMP_WAGE</vt:lpstr>
      <vt:lpstr>TEMP_WORKER_HOURLY_RATE</vt:lpstr>
      <vt:lpstr>TEMP_WORKER_HOURS</vt:lpstr>
      <vt:lpstr>TEMP_WORKER_MAX_COUNT</vt:lpstr>
      <vt:lpstr>TOMATO_BASE_LABOR</vt:lpstr>
      <vt:lpstr>TOMATO_BED_CAP</vt:lpstr>
      <vt:lpstr>TOMATO_DIM_PCT</vt:lpstr>
      <vt:lpstr>TOMATO_FERTILIZER</vt:lpstr>
      <vt:lpstr>TOMATO_PRICE</vt:lpstr>
      <vt:lpstr>TOTAL_BED_CAP</vt:lpstr>
      <vt:lpstr>WEEKS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Jennifer Andrade</cp:lastModifiedBy>
  <dcterms:created xsi:type="dcterms:W3CDTF">2026-09-07T23:48:44Z</dcterms:created>
  <dcterms:modified xsi:type="dcterms:W3CDTF">2026-09-08T00:31:48Z</dcterms:modified>
</cp:coreProperties>
</file>